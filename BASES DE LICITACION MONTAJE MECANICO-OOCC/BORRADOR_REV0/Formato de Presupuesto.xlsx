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supuesto" sheetId="1" state="visible" r:id="rId1"/>
  </sheets>
  <definedNames>
    <definedName name="_xlnm.Print_Area" localSheetId="0">'Presupuesto'!$A$1:$F$55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\ #,##0;[Red]\-&quot;$&quot;\ #,##0"/>
    <numFmt numFmtId="165" formatCode="_ &quot;$&quot;* #,##0_ ;_ &quot;$&quot;* \-#,##0_ ;_ &quot;$&quot;* &quot;-&quot;_ ;_ @_ "/>
  </numFmts>
  <fonts count="6">
    <font>
      <name val="Calibri"/>
      <family val="2"/>
      <color theme="1"/>
      <sz val="11"/>
      <scheme val="minor"/>
    </font>
    <font>
      <name val="Aptos Narrow"/>
      <sz val="11"/>
    </font>
    <font>
      <name val="Aptos Narrow"/>
      <b val="1"/>
      <sz val="10"/>
    </font>
    <font>
      <name val="Aptos Narrow"/>
      <b val="1"/>
      <sz val="12"/>
    </font>
    <font>
      <name val="Aptos Narrow"/>
      <sz val="10"/>
    </font>
    <font>
      <name val="Aptos Narrow"/>
      <b val="1"/>
      <sz val="11"/>
    </font>
  </fonts>
  <fills count="4">
    <fill>
      <patternFill/>
    </fill>
    <fill>
      <patternFill patternType="gray125"/>
    </fill>
    <fill>
      <patternFill patternType="solid">
        <fgColor theme="0" tint="-0.3499862666707358"/>
        <bgColor theme="0" tint="-0.3499862666707358"/>
      </patternFill>
    </fill>
    <fill>
      <patternFill patternType="solid">
        <fgColor theme="2" tint="-0.249977111117893"/>
        <bgColor theme="2" tint="-0.249977111117893"/>
      </patternFill>
    </fill>
  </fills>
  <borders count="10">
    <border>
      <left/>
      <right/>
      <top/>
      <bottom/>
      <diagonal/>
    </border>
    <border>
      <left style="medium"/>
      <right style="medium"/>
      <top style="medium"/>
      <bottom style="medium"/>
    </border>
    <border>
      <left style="medium"/>
      <right style="thin"/>
      <top style="medium"/>
      <bottom style="medium"/>
    </border>
    <border>
      <left style="thin"/>
      <right style="thin"/>
      <top style="medium"/>
      <bottom style="medium"/>
    </border>
    <border>
      <left style="thin"/>
      <right style="medium"/>
      <top style="medium"/>
      <bottom style="medium"/>
    </border>
    <border>
      <left style="thin"/>
      <right style="thin"/>
      <top style="thin"/>
      <bottom style="thin"/>
    </border>
    <border>
      <left style="medium"/>
      <top style="medium"/>
      <bottom style="medium"/>
    </border>
    <border>
      <top style="medium"/>
      <bottom style="medium"/>
    </border>
    <border>
      <right style="medium"/>
      <top style="medium"/>
      <bottom style="medium"/>
    </border>
    <border>
      <left style="thin"/>
      <right style="thin"/>
      <top/>
      <bottom style="thin"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2" fillId="0" borderId="3" applyAlignment="1" pivotButton="0" quotePrefix="0" xfId="0">
      <alignment horizontal="left" vertical="center"/>
    </xf>
    <xf numFmtId="0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5" fillId="2" borderId="6" applyAlignment="1" pivotButton="0" quotePrefix="0" xfId="0">
      <alignment horizontal="center" vertical="center"/>
    </xf>
    <xf numFmtId="0" fontId="5" fillId="2" borderId="7" applyAlignment="1" pivotButton="0" quotePrefix="0" xfId="0">
      <alignment horizontal="left" vertical="center" indent="1"/>
    </xf>
    <xf numFmtId="0" fontId="5" fillId="2" borderId="7" pivotButton="0" quotePrefix="0" xfId="0"/>
    <xf numFmtId="164" fontId="5" fillId="2" borderId="8" applyAlignment="1" pivotButton="0" quotePrefix="0" xfId="0">
      <alignment horizontal="right" vertical="center"/>
    </xf>
    <xf numFmtId="0" fontId="4" fillId="0" borderId="5" applyAlignment="1" pivotButton="0" quotePrefix="0" xfId="0">
      <alignment horizontal="center" vertical="center"/>
    </xf>
    <xf numFmtId="0" fontId="4" fillId="0" borderId="5" applyAlignment="1" pivotButton="0" quotePrefix="0" xfId="0">
      <alignment horizontal="left" vertical="center" wrapText="1"/>
    </xf>
    <xf numFmtId="164" fontId="4" fillId="0" borderId="5" applyAlignment="1" pivotButton="0" quotePrefix="0" xfId="0">
      <alignment horizontal="right" vertical="center"/>
    </xf>
    <xf numFmtId="0" fontId="1" fillId="3" borderId="7" applyAlignment="1" pivotButton="0" quotePrefix="0" xfId="0">
      <alignment horizontal="right" vertical="center"/>
    </xf>
    <xf numFmtId="0" fontId="5" fillId="3" borderId="7" applyAlignment="1" pivotButton="0" quotePrefix="0" xfId="0">
      <alignment horizontal="left" vertical="center" indent="1"/>
    </xf>
    <xf numFmtId="165" fontId="1" fillId="3" borderId="8" applyAlignment="1" pivotButton="0" quotePrefix="0" xfId="0">
      <alignment horizontal="right" vertical="center"/>
    </xf>
    <xf numFmtId="0" fontId="1" fillId="0" borderId="0" applyAlignment="1" pivotButton="0" quotePrefix="0" xfId="0">
      <alignment horizontal="center" vertical="center"/>
    </xf>
    <xf numFmtId="0" fontId="5" fillId="0" borderId="9" applyAlignment="1" pivotButton="0" quotePrefix="0" xfId="0">
      <alignment horizontal="left" vertical="center" indent="1"/>
    </xf>
    <xf numFmtId="0" fontId="1" fillId="0" borderId="9" applyAlignment="1" pivotButton="0" quotePrefix="0" xfId="0">
      <alignment horizontal="center" vertical="center"/>
    </xf>
    <xf numFmtId="2" fontId="1" fillId="0" borderId="9" applyAlignment="1" pivotButton="0" quotePrefix="0" xfId="0">
      <alignment horizontal="center" vertical="center"/>
    </xf>
    <xf numFmtId="165" fontId="1" fillId="0" borderId="9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F5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70" customWidth="1" min="2" max="2"/>
    <col width="10" customWidth="1" min="3" max="3"/>
    <col width="10" customWidth="1" min="4" max="4"/>
    <col width="15" customWidth="1" min="5" max="5"/>
    <col width="18" customWidth="1" min="6" max="6"/>
  </cols>
  <sheetData>
    <row r="2">
      <c r="A2" s="1" t="inlineStr">
        <is>
          <t>PRESUPUESTO DE MONTAJE DE EQUIPOS MECANICOS Y OBRAS CIVILES PLANTA TALTAL</t>
        </is>
      </c>
      <c r="B2" s="2" t="n"/>
      <c r="C2" s="2" t="n"/>
      <c r="D2" s="2" t="n"/>
      <c r="E2" s="2" t="n"/>
      <c r="F2" s="2" t="n"/>
    </row>
    <row r="4">
      <c r="A4" s="3" t="inlineStr">
        <is>
          <t>ITEM</t>
        </is>
      </c>
      <c r="B4" s="4" t="inlineStr">
        <is>
          <t>PARTIDA</t>
        </is>
      </c>
      <c r="C4" s="5" t="inlineStr">
        <is>
          <t>UNID.</t>
        </is>
      </c>
      <c r="D4" s="5" t="inlineStr">
        <is>
          <t>CANT.</t>
        </is>
      </c>
      <c r="E4" s="6" t="inlineStr">
        <is>
          <t>P.UNI.</t>
        </is>
      </c>
      <c r="F4" s="7" t="inlineStr">
        <is>
          <t>TOTAL</t>
        </is>
      </c>
    </row>
    <row r="6">
      <c r="A6" s="8" t="n">
        <v>1</v>
      </c>
      <c r="B6" s="9" t="inlineStr">
        <is>
          <t>FABRICACION Y MONTAJE DE TUBERIAS DE HDPE</t>
        </is>
      </c>
      <c r="C6" s="10" t="n"/>
      <c r="D6" s="10" t="n"/>
      <c r="E6" s="10" t="n"/>
      <c r="F6" s="11">
        <f>SUM(F7:F30)</f>
        <v/>
      </c>
    </row>
    <row r="7" ht="28" customHeight="1">
      <c r="A7" s="12" t="inlineStr">
        <is>
          <t>1.1</t>
        </is>
      </c>
      <c r="B7" s="13" t="inlineStr">
        <is>
          <t>Fabricacion y montaje linea SA-HDPE-DN110-PN10-001 - Salmuera mod. 11 l/s tie-in 3 -&gt; SA-DN90-001 (incluye montaje in-line: VM-06-001)</t>
        </is>
      </c>
      <c r="C7" s="12" t="inlineStr">
        <is>
          <t>gl</t>
        </is>
      </c>
      <c r="D7" s="12" t="n">
        <v>1</v>
      </c>
      <c r="E7" s="14" t="n">
        <v>0</v>
      </c>
      <c r="F7" s="14">
        <f>E7*D7</f>
        <v/>
      </c>
    </row>
    <row r="8" ht="28" customHeight="1">
      <c r="A8" s="12" t="inlineStr">
        <is>
          <t>1.2</t>
        </is>
      </c>
      <c r="B8" s="13" t="inlineStr">
        <is>
          <t>Fabricacion y montaje linea SA-HDPE-DN110-PN10-002 - Salmuera SA-001 -&gt; TK-06-001 (entrada estanque) (incluye montaje in-line: VM-06-002)</t>
        </is>
      </c>
      <c r="C8" s="12" t="inlineStr">
        <is>
          <t>gl</t>
        </is>
      </c>
      <c r="D8" s="12" t="n">
        <v>1</v>
      </c>
      <c r="E8" s="14" t="n">
        <v>0</v>
      </c>
      <c r="F8" s="14">
        <f>E8*D8</f>
        <v/>
      </c>
    </row>
    <row r="9" ht="28" customHeight="1">
      <c r="A9" s="12" t="inlineStr">
        <is>
          <t>1.3</t>
        </is>
      </c>
      <c r="B9" s="13" t="inlineStr">
        <is>
          <t>Fabricacion y montaje linea SA-HDPE-DN110-PN10-003 - Salmuera TK-06-001 -&gt; Fosa de Drenajes</t>
        </is>
      </c>
      <c r="C9" s="12" t="inlineStr">
        <is>
          <t>gl</t>
        </is>
      </c>
      <c r="D9" s="12" t="n">
        <v>1</v>
      </c>
      <c r="E9" s="14" t="n">
        <v>0</v>
      </c>
      <c r="F9" s="14">
        <f>E9*D9</f>
        <v/>
      </c>
    </row>
    <row r="10" ht="28" customHeight="1">
      <c r="A10" s="12" t="inlineStr">
        <is>
          <t>1.4</t>
        </is>
      </c>
      <c r="B10" s="13" t="inlineStr">
        <is>
          <t>Fabricacion y montaje linea SA-HDPE-DN63-PN10-001 - Salmuera TK-06-001 -&gt; Fosa de Drenajes (paralela) (incluye montaje in-line: VM-06-003)</t>
        </is>
      </c>
      <c r="C10" s="12" t="inlineStr">
        <is>
          <t>gl</t>
        </is>
      </c>
      <c r="D10" s="12" t="n">
        <v>1</v>
      </c>
      <c r="E10" s="14" t="n">
        <v>0</v>
      </c>
      <c r="F10" s="14">
        <f>E10*D10</f>
        <v/>
      </c>
    </row>
    <row r="11" ht="28" customHeight="1">
      <c r="A11" s="12" t="inlineStr">
        <is>
          <t>1.5</t>
        </is>
      </c>
      <c r="B11" s="13" t="inlineStr">
        <is>
          <t>Fabricacion y montaje linea SA-HDPE-DN110-PN10-004 - Salmuera TK-06-001 -&gt; BH-06-001 (succion) (incluye montaje in-line: VM-06-004)</t>
        </is>
      </c>
      <c r="C11" s="12" t="inlineStr">
        <is>
          <t>gl</t>
        </is>
      </c>
      <c r="D11" s="12" t="n">
        <v>1</v>
      </c>
      <c r="E11" s="14" t="n">
        <v>0</v>
      </c>
      <c r="F11" s="14">
        <f>E11*D11</f>
        <v/>
      </c>
    </row>
    <row r="12" ht="28" customHeight="1">
      <c r="A12" s="12" t="inlineStr">
        <is>
          <t>1.6</t>
        </is>
      </c>
      <c r="B12" s="13" t="inlineStr">
        <is>
          <t>Fabricacion y montaje linea SA-HDPE-DN110-PN10-005 - Salmuera BH-06-001 -&gt; tie-in 1 mod. 2da etapa (incluye montaje in-line: VM-06-005, VR-06-001)</t>
        </is>
      </c>
      <c r="C12" s="12" t="inlineStr">
        <is>
          <t>gl</t>
        </is>
      </c>
      <c r="D12" s="12" t="n">
        <v>1</v>
      </c>
      <c r="E12" s="14" t="n">
        <v>0</v>
      </c>
      <c r="F12" s="14">
        <f>E12*D12</f>
        <v/>
      </c>
    </row>
    <row r="13" ht="28" customHeight="1">
      <c r="A13" s="12" t="inlineStr">
        <is>
          <t>1.7</t>
        </is>
      </c>
      <c r="B13" s="13" t="inlineStr">
        <is>
          <t>Fabricacion y montaje linea SA-HDPE-DN110-PN10-006 - Salmuera BS-06-001 -&gt; SA-007 (descarga sumergible) (incluye montaje in-line: VM-06-008, VR-06-002)</t>
        </is>
      </c>
      <c r="C13" s="12" t="inlineStr">
        <is>
          <t>gl</t>
        </is>
      </c>
      <c r="D13" s="12" t="n">
        <v>1</v>
      </c>
      <c r="E13" s="14" t="n">
        <v>0</v>
      </c>
      <c r="F13" s="14">
        <f>E13*D13</f>
        <v/>
      </c>
    </row>
    <row r="14" ht="28" customHeight="1">
      <c r="A14" s="12" t="inlineStr">
        <is>
          <t>1.8</t>
        </is>
      </c>
      <c r="B14" s="13" t="inlineStr">
        <is>
          <t>Fabricacion y montaje linea SA-HDPE-DN110-PN10-007 - Salmuera SA-DN90-002 -&gt; drenaje original 11 l/s (incluye montaje in-line: VM-06-009, VR-06-003)</t>
        </is>
      </c>
      <c r="C14" s="12" t="inlineStr">
        <is>
          <t>gl</t>
        </is>
      </c>
      <c r="D14" s="12" t="n">
        <v>1</v>
      </c>
      <c r="E14" s="14" t="n">
        <v>0</v>
      </c>
      <c r="F14" s="14">
        <f>E14*D14</f>
        <v/>
      </c>
    </row>
    <row r="15" ht="28" customHeight="1">
      <c r="A15" s="12" t="inlineStr">
        <is>
          <t>1.9</t>
        </is>
      </c>
      <c r="B15" s="13" t="inlineStr">
        <is>
          <t>Fabricacion y montaje linea SA-HDPE-DN90-PN10-002 - Salmuera tie-in 3 mod. 2da etapa -&gt; SA-007</t>
        </is>
      </c>
      <c r="C15" s="12" t="inlineStr">
        <is>
          <t>gl</t>
        </is>
      </c>
      <c r="D15" s="12" t="n">
        <v>1</v>
      </c>
      <c r="E15" s="14" t="n">
        <v>0</v>
      </c>
      <c r="F15" s="14">
        <f>E15*D15</f>
        <v/>
      </c>
    </row>
    <row r="16" ht="28" customHeight="1">
      <c r="A16" s="12" t="inlineStr">
        <is>
          <t>1.10</t>
        </is>
      </c>
      <c r="B16" s="13" t="inlineStr">
        <is>
          <t>Fabricacion y montaje linea SA-HDPE-DN90-PN10-003 - Drenajes tie-in 4 mod. 2da etapa -&gt; canaleta</t>
        </is>
      </c>
      <c r="C16" s="12" t="inlineStr">
        <is>
          <t>gl</t>
        </is>
      </c>
      <c r="D16" s="12" t="n">
        <v>1</v>
      </c>
      <c r="E16" s="14" t="n">
        <v>0</v>
      </c>
      <c r="F16" s="14">
        <f>E16*D16</f>
        <v/>
      </c>
    </row>
    <row r="17" ht="28" customHeight="1">
      <c r="A17" s="12" t="inlineStr">
        <is>
          <t>1.11</t>
        </is>
      </c>
      <c r="B17" s="13" t="inlineStr">
        <is>
          <t>Fabricacion y montaje linea PE-HDPE-DN90-PN10-001 - Permeado tie-in 2 mod. 2da etapa -&gt; TK Producto N1/2 (incluye montaje in-line: VM-06-007, VM-06-015)</t>
        </is>
      </c>
      <c r="C17" s="12" t="inlineStr">
        <is>
          <t>gl</t>
        </is>
      </c>
      <c r="D17" s="12" t="n">
        <v>1</v>
      </c>
      <c r="E17" s="14" t="n">
        <v>0</v>
      </c>
      <c r="F17" s="14">
        <f>E17*D17</f>
        <v/>
      </c>
    </row>
    <row r="18" ht="28" customHeight="1">
      <c r="A18" s="12" t="inlineStr">
        <is>
          <t>1.12</t>
        </is>
      </c>
      <c r="B18" s="13" t="inlineStr">
        <is>
          <t>Fabricacion y montaje linea PE-HDPE-DN90-PN10-002 - Permeado PE-001 -&gt; Disolvedor de CO2 (incluye montaje in-line: VM-06-016)</t>
        </is>
      </c>
      <c r="C18" s="12" t="inlineStr">
        <is>
          <t>gl</t>
        </is>
      </c>
      <c r="D18" s="12" t="n">
        <v>1</v>
      </c>
      <c r="E18" s="14" t="n">
        <v>0</v>
      </c>
      <c r="F18" s="14">
        <f>E18*D18</f>
        <v/>
      </c>
    </row>
    <row r="19" ht="28" customHeight="1">
      <c r="A19" s="12" t="inlineStr">
        <is>
          <t>1.13</t>
        </is>
      </c>
      <c r="B19" s="13" t="inlineStr">
        <is>
          <t>Fabricacion y montaje linea PE-HDPE-DN90-PN10-003 - Permeado fuera de spec. PE-001 -&gt; SA-007 (incluye montaje in-line: VM-06-006)</t>
        </is>
      </c>
      <c r="C19" s="12" t="inlineStr">
        <is>
          <t>gl</t>
        </is>
      </c>
      <c r="D19" s="12" t="n">
        <v>1</v>
      </c>
      <c r="E19" s="14" t="n">
        <v>0</v>
      </c>
      <c r="F19" s="14">
        <f>E19*D19</f>
        <v/>
      </c>
    </row>
    <row r="20" ht="28" customHeight="1">
      <c r="A20" s="12" t="inlineStr">
        <is>
          <t>1.14</t>
        </is>
      </c>
      <c r="B20" s="13" t="inlineStr">
        <is>
          <t>Montaje soporte tipo SP-01 (abrazadera sobre perfil UPE 80 + chapa; SP-01-01/02/03)</t>
        </is>
      </c>
      <c r="C20" s="12" t="inlineStr">
        <is>
          <t>un</t>
        </is>
      </c>
      <c r="D20" s="12" t="n">
        <v>21</v>
      </c>
      <c r="E20" s="14" t="n">
        <v>0</v>
      </c>
      <c r="F20" s="14">
        <f>E20*D20</f>
        <v/>
      </c>
    </row>
    <row r="21" ht="28" customHeight="1">
      <c r="A21" s="12" t="inlineStr">
        <is>
          <t>1.15</t>
        </is>
      </c>
      <c r="B21" s="13" t="inlineStr">
        <is>
          <t>Montaje soporte tipo SP-02 (soporte simple; SP-02-01/02)</t>
        </is>
      </c>
      <c r="C21" s="12" t="inlineStr">
        <is>
          <t>un</t>
        </is>
      </c>
      <c r="D21" s="12" t="n">
        <v>3</v>
      </c>
      <c r="E21" s="14" t="n">
        <v>0</v>
      </c>
      <c r="F21" s="14">
        <f>E21*D21</f>
        <v/>
      </c>
    </row>
    <row r="22" ht="28" customHeight="1">
      <c r="A22" s="12" t="inlineStr">
        <is>
          <t>1.16</t>
        </is>
      </c>
      <c r="B22" s="13" t="inlineStr">
        <is>
          <t>Montaje soporte tipo SP-03 - extremo a soldar en soporte existente Modulo 3 (WPS calificado; SP-03-01/02/03)</t>
        </is>
      </c>
      <c r="C22" s="12" t="inlineStr">
        <is>
          <t>un</t>
        </is>
      </c>
      <c r="D22" s="12" t="n">
        <v>24</v>
      </c>
      <c r="E22" s="14" t="n">
        <v>0</v>
      </c>
      <c r="F22" s="14">
        <f>E22*D22</f>
        <v/>
      </c>
    </row>
    <row r="23" ht="28" customHeight="1">
      <c r="A23" s="12" t="inlineStr">
        <is>
          <t>1.17</t>
        </is>
      </c>
      <c r="B23" s="13" t="inlineStr">
        <is>
          <t>Montaje soporte tipo SP-04 (pedestal perfil cuadrado 100 mm sobre dado de hormigon + grout; SP-04-01)</t>
        </is>
      </c>
      <c r="C23" s="12" t="inlineStr">
        <is>
          <t>un</t>
        </is>
      </c>
      <c r="D23" s="12" t="n">
        <v>3</v>
      </c>
      <c r="E23" s="14" t="n">
        <v>0</v>
      </c>
      <c r="F23" s="14">
        <f>E23*D23</f>
        <v/>
      </c>
    </row>
    <row r="24" ht="28" customHeight="1">
      <c r="A24" s="12" t="inlineStr">
        <is>
          <t>1.18</t>
        </is>
      </c>
      <c r="B24" s="13" t="inlineStr">
        <is>
          <t>Montaje soporte tipo SP-05 (pedestal con riostra diagonal sobre dado de hormigon + grout; SP-05-01)</t>
        </is>
      </c>
      <c r="C24" s="12" t="inlineStr">
        <is>
          <t>un</t>
        </is>
      </c>
      <c r="D24" s="12" t="n">
        <v>5</v>
      </c>
      <c r="E24" s="14" t="n">
        <v>0</v>
      </c>
      <c r="F24" s="14">
        <f>E24*D24</f>
        <v/>
      </c>
    </row>
    <row r="25" ht="28" customHeight="1">
      <c r="A25" s="12" t="inlineStr">
        <is>
          <t>1.19</t>
        </is>
      </c>
      <c r="B25" s="13" t="inlineStr">
        <is>
          <t>Montaje soporte tipo SP-06 (pedestal con voladizo sobre dado de hormigon + grout; SP-06-01)</t>
        </is>
      </c>
      <c r="C25" s="12" t="inlineStr">
        <is>
          <t>un</t>
        </is>
      </c>
      <c r="D25" s="12" t="n">
        <v>1</v>
      </c>
      <c r="E25" s="14" t="n">
        <v>0</v>
      </c>
      <c r="F25" s="14">
        <f>E25*D25</f>
        <v/>
      </c>
    </row>
    <row r="26" ht="28" customHeight="1">
      <c r="A26" s="12" t="inlineStr">
        <is>
          <t>1.20</t>
        </is>
      </c>
      <c r="B26" s="13" t="inlineStr">
        <is>
          <t>Montaje soporte tipo SP-07 (pedestal con diagonal; SP-07-01/02)</t>
        </is>
      </c>
      <c r="C26" s="12" t="inlineStr">
        <is>
          <t>un</t>
        </is>
      </c>
      <c r="D26" s="12" t="n">
        <v>4</v>
      </c>
      <c r="E26" s="14" t="n">
        <v>0</v>
      </c>
      <c r="F26" s="14">
        <f>E26*D26</f>
        <v/>
      </c>
    </row>
    <row r="27" ht="28" customHeight="1">
      <c r="A27" s="12" t="inlineStr">
        <is>
          <t>1.21</t>
        </is>
      </c>
      <c r="B27" s="13" t="inlineStr">
        <is>
          <t>Montaje soporte tipo SP-08 (pedestal individual alto DN110; SP-08-01)</t>
        </is>
      </c>
      <c r="C27" s="12" t="inlineStr">
        <is>
          <t>un</t>
        </is>
      </c>
      <c r="D27" s="12" t="n">
        <v>1</v>
      </c>
      <c r="E27" s="14" t="n">
        <v>0</v>
      </c>
      <c r="F27" s="14">
        <f>E27*D27</f>
        <v/>
      </c>
    </row>
    <row r="28" ht="28" customHeight="1">
      <c r="A28" s="12" t="inlineStr">
        <is>
          <t>1.22</t>
        </is>
      </c>
      <c r="B28" s="13" t="inlineStr">
        <is>
          <t>Montaje soporte tipo SP-09 - soldado a soporte existente (intervencion critica; SP-09-01)</t>
        </is>
      </c>
      <c r="C28" s="12" t="inlineStr">
        <is>
          <t>un</t>
        </is>
      </c>
      <c r="D28" s="12" t="n">
        <v>1</v>
      </c>
      <c r="E28" s="14" t="n">
        <v>0</v>
      </c>
      <c r="F28" s="14">
        <f>E28*D28</f>
        <v/>
      </c>
    </row>
    <row r="29" ht="28" customHeight="1">
      <c r="A29" s="12" t="inlineStr">
        <is>
          <t>1.23</t>
        </is>
      </c>
      <c r="B29" s="13" t="inlineStr">
        <is>
          <t>Montaje soporte tipo SP-10 - extremo a soldar en terreno (chapa en radier nuevo o anclaje quimico; SP-10-01)</t>
        </is>
      </c>
      <c r="C29" s="12" t="inlineStr">
        <is>
          <t>un</t>
        </is>
      </c>
      <c r="D29" s="12" t="n">
        <v>2</v>
      </c>
      <c r="E29" s="14" t="n">
        <v>0</v>
      </c>
      <c r="F29" s="14">
        <f>E29*D29</f>
        <v/>
      </c>
    </row>
    <row r="30" ht="28" customHeight="1">
      <c r="A30" s="12" t="inlineStr">
        <is>
          <t>1.24</t>
        </is>
      </c>
      <c r="B30" s="13" t="inlineStr">
        <is>
          <t>Montaje soporte tipo SP-11 (pedestal con doble nivel; SP-11-01/02)</t>
        </is>
      </c>
      <c r="C30" s="12" t="inlineStr">
        <is>
          <t>un</t>
        </is>
      </c>
      <c r="D30" s="12" t="n">
        <v>2</v>
      </c>
      <c r="E30" s="14" t="n">
        <v>0</v>
      </c>
      <c r="F30" s="14">
        <f>E30*D30</f>
        <v/>
      </c>
    </row>
    <row r="32">
      <c r="A32" s="8" t="n">
        <v>2</v>
      </c>
      <c r="B32" s="9" t="inlineStr">
        <is>
          <t>MONTAJE DE ESTANQUE PRFV</t>
        </is>
      </c>
      <c r="C32" s="10" t="n"/>
      <c r="D32" s="10" t="n"/>
      <c r="E32" s="10" t="n"/>
      <c r="F32" s="11">
        <f>SUM(F33:F34)</f>
        <v/>
      </c>
    </row>
    <row r="33">
      <c r="A33" s="12" t="inlineStr">
        <is>
          <t>2.1</t>
        </is>
      </c>
      <c r="B33" s="13" t="inlineStr">
        <is>
          <t>Montaje de estanque PRFV TK-06-001 (10 m3, ASME RTP-1, suministro ADASA)</t>
        </is>
      </c>
      <c r="C33" s="12" t="inlineStr">
        <is>
          <t>un</t>
        </is>
      </c>
      <c r="D33" s="12" t="n">
        <v>1</v>
      </c>
      <c r="E33" s="14" t="n">
        <v>0</v>
      </c>
      <c r="F33" s="14">
        <f>E33*D33</f>
        <v/>
      </c>
    </row>
    <row r="34">
      <c r="A34" s="12" t="inlineStr">
        <is>
          <t>2.2</t>
        </is>
      </c>
      <c r="B34" s="13" t="inlineStr">
        <is>
          <t>Traslado de Antofagasta a Taltal (TK-06-001)</t>
        </is>
      </c>
      <c r="C34" s="12" t="inlineStr">
        <is>
          <t>un</t>
        </is>
      </c>
      <c r="D34" s="12" t="n">
        <v>1</v>
      </c>
      <c r="E34" s="14" t="n">
        <v>0</v>
      </c>
      <c r="F34" s="14">
        <f>E34*D34</f>
        <v/>
      </c>
    </row>
    <row r="36">
      <c r="A36" s="8" t="n">
        <v>3</v>
      </c>
      <c r="B36" s="9" t="inlineStr">
        <is>
          <t>MONTAJE DE BOMBA CENTRIFUGA</t>
        </is>
      </c>
      <c r="C36" s="10" t="n"/>
      <c r="D36" s="10" t="n"/>
      <c r="E36" s="10" t="n"/>
      <c r="F36" s="11">
        <f>SUM(F37:F38)</f>
        <v/>
      </c>
    </row>
    <row r="37" ht="30" customHeight="1">
      <c r="A37" s="12" t="inlineStr">
        <is>
          <t>3.1</t>
        </is>
      </c>
      <c r="B37" s="13" t="inlineStr">
        <is>
          <t>Montaje de bomba centrifuga BH-06-001 KSB + motor WEH 11 kW (incluye pruebas electricas estaticas del motor; sin comisionamiento)</t>
        </is>
      </c>
      <c r="C37" s="12" t="inlineStr">
        <is>
          <t>un</t>
        </is>
      </c>
      <c r="D37" s="12" t="n">
        <v>1</v>
      </c>
      <c r="E37" s="14" t="n">
        <v>0</v>
      </c>
      <c r="F37" s="14">
        <f>E37*D37</f>
        <v/>
      </c>
    </row>
    <row r="38">
      <c r="A38" s="12" t="inlineStr">
        <is>
          <t>3.2</t>
        </is>
      </c>
      <c r="B38" s="13" t="inlineStr">
        <is>
          <t>Traslado de Antofagasta a Taltal (BH-06-001)</t>
        </is>
      </c>
      <c r="C38" s="12" t="inlineStr">
        <is>
          <t>un</t>
        </is>
      </c>
      <c r="D38" s="12" t="n">
        <v>1</v>
      </c>
      <c r="E38" s="14" t="n">
        <v>0</v>
      </c>
      <c r="F38" s="14">
        <f>E38*D38</f>
        <v/>
      </c>
    </row>
    <row r="40">
      <c r="A40" s="8" t="n">
        <v>4</v>
      </c>
      <c r="B40" s="9" t="inlineStr">
        <is>
          <t>OBRAS CIVILES</t>
        </is>
      </c>
      <c r="C40" s="10" t="n"/>
      <c r="D40" s="10" t="n"/>
      <c r="E40" s="10" t="n"/>
      <c r="F40" s="11">
        <f>SUM(F41:F48)</f>
        <v/>
      </c>
    </row>
    <row r="41">
      <c r="A41" s="12" t="inlineStr">
        <is>
          <t>4.1</t>
        </is>
      </c>
      <c r="B41" s="13" t="inlineStr">
        <is>
          <t>Fundacion planta salmuera (F1) - radier de operacion</t>
        </is>
      </c>
      <c r="C41" s="12" t="inlineStr">
        <is>
          <t>m3</t>
        </is>
      </c>
      <c r="D41" s="12" t="n"/>
      <c r="E41" s="14" t="n"/>
      <c r="F41" s="14">
        <f>E41*D41</f>
        <v/>
      </c>
    </row>
    <row r="42">
      <c r="A42" s="12" t="inlineStr">
        <is>
          <t>4.2</t>
        </is>
      </c>
      <c r="B42" s="13" t="inlineStr">
        <is>
          <t>Fundacion compartida contenedor RO + sistema CIP (F2)</t>
        </is>
      </c>
      <c r="C42" s="12" t="inlineStr">
        <is>
          <t>m3</t>
        </is>
      </c>
      <c r="D42" s="12" t="n"/>
      <c r="E42" s="14" t="n"/>
      <c r="F42" s="14">
        <f>E42*D42</f>
        <v/>
      </c>
    </row>
    <row r="43">
      <c r="A43" s="12" t="inlineStr">
        <is>
          <t>4.3</t>
        </is>
      </c>
      <c r="B43" s="13" t="inlineStr">
        <is>
          <t>Fundacion dinamica bomba BH-06-001 (F3) - segun MC ACI 351</t>
        </is>
      </c>
      <c r="C43" s="12" t="inlineStr">
        <is>
          <t>m3</t>
        </is>
      </c>
      <c r="D43" s="12" t="n"/>
      <c r="E43" s="14" t="n"/>
      <c r="F43" s="14">
        <f>E43*D43</f>
        <v/>
      </c>
    </row>
    <row r="44">
      <c r="A44" s="12" t="inlineStr">
        <is>
          <t>4.4</t>
        </is>
      </c>
      <c r="B44" s="13" t="inlineStr">
        <is>
          <t>Fundacion estanque TK-06-001 (F4)</t>
        </is>
      </c>
      <c r="C44" s="12" t="inlineStr">
        <is>
          <t>m3</t>
        </is>
      </c>
      <c r="D44" s="12" t="n"/>
      <c r="E44" s="14" t="n"/>
      <c r="F44" s="14">
        <f>E44*D44</f>
        <v/>
      </c>
    </row>
    <row r="45">
      <c r="A45" s="12" t="inlineStr">
        <is>
          <t>4.5</t>
        </is>
      </c>
      <c r="B45" s="13" t="inlineStr">
        <is>
          <t>Fundacion camara de drenajes TK-06-004 (F5)</t>
        </is>
      </c>
      <c r="C45" s="12" t="inlineStr">
        <is>
          <t>m3</t>
        </is>
      </c>
      <c r="D45" s="12" t="n"/>
      <c r="E45" s="14" t="n"/>
      <c r="F45" s="14">
        <f>E45*D45</f>
        <v/>
      </c>
    </row>
    <row r="46" ht="28" customHeight="1">
      <c r="A46" s="12" t="inlineStr">
        <is>
          <t>4.6</t>
        </is>
      </c>
      <c r="B46" s="13" t="inlineStr">
        <is>
          <t>Excavacion comun + retiro de material - 5 fundaciones F1-F5 + zanjas de drenaje</t>
        </is>
      </c>
      <c r="C46" s="12" t="inlineStr">
        <is>
          <t>m3</t>
        </is>
      </c>
      <c r="D46" s="12" t="n"/>
      <c r="E46" s="14" t="n"/>
      <c r="F46" s="14">
        <f>E46*D46</f>
        <v/>
      </c>
    </row>
    <row r="47" ht="28" customHeight="1">
      <c r="A47" s="12" t="inlineStr">
        <is>
          <t>4.7</t>
        </is>
      </c>
      <c r="B47" s="13" t="inlineStr">
        <is>
          <t>Relleno compactado con material seleccionado + base estabilizada (sello arena/hormigon pobre) bajo losas</t>
        </is>
      </c>
      <c r="C47" s="12" t="inlineStr">
        <is>
          <t>m3</t>
        </is>
      </c>
      <c r="D47" s="12" t="n"/>
      <c r="E47" s="14" t="n"/>
      <c r="F47" s="14">
        <f>E47*D47</f>
        <v/>
      </c>
    </row>
    <row r="48" ht="28" customHeight="1">
      <c r="A48" s="12" t="inlineStr">
        <is>
          <t>4.8</t>
        </is>
      </c>
      <c r="B48" s="13" t="inlineStr">
        <is>
          <t>Sistema de drenaje del modulo (canaleta perimetral + sumideros + tuberia HDPE Ø63 corrugada + camaras de inspeccion + conexion a TK-06-004)</t>
        </is>
      </c>
      <c r="C48" s="12" t="inlineStr">
        <is>
          <t>gl</t>
        </is>
      </c>
      <c r="D48" s="12" t="n">
        <v>1</v>
      </c>
      <c r="E48" s="14" t="n"/>
      <c r="F48" s="14">
        <f>E48*D48</f>
        <v/>
      </c>
    </row>
    <row r="50">
      <c r="A50" s="15" t="n"/>
      <c r="B50" s="16" t="inlineStr">
        <is>
          <t>COSTO DIRECTO</t>
        </is>
      </c>
      <c r="C50" s="15" t="n"/>
      <c r="D50" s="15" t="n"/>
      <c r="E50" s="15" t="n"/>
      <c r="F50" s="17">
        <f>F6+F32+F36+F40</f>
        <v/>
      </c>
    </row>
    <row r="51">
      <c r="A51" s="18" t="n"/>
      <c r="B51" s="19" t="inlineStr">
        <is>
          <t>GASTOS GENERALES</t>
        </is>
      </c>
      <c r="C51" s="20" t="inlineStr">
        <is>
          <t>%</t>
        </is>
      </c>
      <c r="D51" s="21" t="n"/>
      <c r="E51" s="20" t="n"/>
      <c r="F51" s="22">
        <f>F50*D51/100</f>
        <v/>
      </c>
    </row>
    <row r="52">
      <c r="A52" s="18" t="n"/>
      <c r="B52" s="19" t="inlineStr">
        <is>
          <t>UTILIDADES</t>
        </is>
      </c>
      <c r="C52" s="20" t="inlineStr">
        <is>
          <t>%</t>
        </is>
      </c>
      <c r="D52" s="21" t="n"/>
      <c r="E52" s="20" t="n"/>
      <c r="F52" s="22">
        <f>F50*D52/100</f>
        <v/>
      </c>
    </row>
    <row r="53">
      <c r="A53" s="18" t="n"/>
      <c r="B53" s="19" t="inlineStr">
        <is>
          <t>TOTAL PARCIAL</t>
        </is>
      </c>
      <c r="C53" s="20" t="n"/>
      <c r="D53" s="20" t="n"/>
      <c r="E53" s="20" t="n"/>
      <c r="F53" s="22">
        <f>F50+F51+F52</f>
        <v/>
      </c>
    </row>
    <row r="54">
      <c r="A54" s="18" t="n"/>
      <c r="B54" s="19" t="inlineStr">
        <is>
          <t>IVA</t>
        </is>
      </c>
      <c r="C54" s="20" t="inlineStr">
        <is>
          <t>%</t>
        </is>
      </c>
      <c r="D54" s="21" t="n">
        <v>19</v>
      </c>
      <c r="E54" s="20" t="n"/>
      <c r="F54" s="22">
        <f>F53*D54/100</f>
        <v/>
      </c>
    </row>
    <row r="55">
      <c r="A55" s="15" t="n"/>
      <c r="B55" s="16" t="inlineStr">
        <is>
          <t>TOTAL GENERAL</t>
        </is>
      </c>
      <c r="C55" s="15" t="n"/>
      <c r="D55" s="15" t="n"/>
      <c r="E55" s="15" t="n"/>
      <c r="F55" s="17">
        <f>F53+F54</f>
        <v/>
      </c>
    </row>
  </sheetData>
  <mergeCells count="1">
    <mergeCell ref="A2:F2"/>
  </mergeCells>
  <pageMargins left="0.75" right="0.75" top="1" bottom="1" header="0.5" footer="0.5"/>
  <pageSetup orientation="portrait" paperSize="1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2026-05-28T19:32:52Z</dcterms:created>
  <dcterms:modified xmlns:dcterms="http://purl.org/dc/terms/" xmlns:xsi="http://www.w3.org/2001/XMLSchema-instance" xsi:type="dcterms:W3CDTF">2026-05-28T19:32:52Z</dcterms:modified>
</cp:coreProperties>
</file>