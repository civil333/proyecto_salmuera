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supuesto" sheetId="1" state="visible" r:id="rId1"/>
  </sheets>
  <definedNames>
    <definedName name="_xlnm.Print_Area" localSheetId="0">'Presupuesto'!$A$1:$F$60</definedName>
  </definedNames>
  <calcPr calcId="124519" fullCalcOnLoad="1"/>
</workbook>
</file>

<file path=xl/styles.xml><?xml version="1.0" encoding="utf-8"?>
<styleSheet xmlns="http://schemas.openxmlformats.org/spreadsheetml/2006/main">
  <numFmts count="2">
    <numFmt numFmtId="164" formatCode="&quot;$&quot;\ #,##0;[Red]\-&quot;$&quot;\ #,##0"/>
    <numFmt numFmtId="165" formatCode="_ &quot;$&quot;* #,##0_ ;_ &quot;$&quot;* \-#,##0_ ;_ &quot;$&quot;* &quot;-&quot;_ ;_ @_ "/>
  </numFmts>
  <fonts count="7">
    <font>
      <name val="Calibri"/>
      <family val="2"/>
      <color theme="1"/>
      <sz val="11"/>
      <scheme val="minor"/>
    </font>
    <font>
      <name val="Aptos Narrow"/>
      <sz val="11"/>
    </font>
    <font>
      <name val="Aptos Narrow"/>
      <b val="1"/>
      <sz val="10"/>
    </font>
    <font>
      <name val="Aptos Narrow"/>
      <b val="1"/>
      <sz val="12"/>
    </font>
    <font>
      <name val="Aptos Narrow"/>
      <sz val="10"/>
    </font>
    <font>
      <name val="Aptos Narrow"/>
      <b val="1"/>
      <sz val="11"/>
    </font>
    <font>
      <name val="Aptos Narrow"/>
      <i val="1"/>
      <sz val="9"/>
    </font>
  </fonts>
  <fills count="4">
    <fill>
      <patternFill/>
    </fill>
    <fill>
      <patternFill patternType="gray125"/>
    </fill>
    <fill>
      <patternFill patternType="solid">
        <fgColor theme="0" tint="-0.3499862666707358"/>
        <bgColor theme="0" tint="-0.3499862666707358"/>
      </patternFill>
    </fill>
    <fill>
      <patternFill patternType="solid">
        <fgColor theme="2" tint="-0.249977111117893"/>
        <bgColor theme="2" tint="-0.249977111117893"/>
      </patternFill>
    </fill>
  </fills>
  <borders count="10">
    <border>
      <left/>
      <right/>
      <top/>
      <bottom/>
      <diagonal/>
    </border>
    <border>
      <left style="medium"/>
      <right style="medium"/>
      <top style="medium"/>
      <bottom style="medium"/>
    </border>
    <border>
      <left style="medium"/>
      <right style="thin"/>
      <top style="medium"/>
      <bottom style="medium"/>
    </border>
    <border>
      <left style="thin"/>
      <right style="thin"/>
      <top style="medium"/>
      <bottom style="medium"/>
    </border>
    <border>
      <left style="thin"/>
      <right style="medium"/>
      <top style="medium"/>
      <bottom style="medium"/>
    </border>
    <border>
      <left style="thin"/>
      <right style="thin"/>
      <top style="thin"/>
      <bottom style="thin"/>
    </border>
    <border>
      <left style="medium"/>
      <top style="medium"/>
      <bottom style="medium"/>
    </border>
    <border>
      <top style="medium"/>
      <bottom style="medium"/>
    </border>
    <border>
      <right style="medium"/>
      <top style="medium"/>
      <bottom style="medium"/>
    </border>
    <border>
      <left style="thin"/>
      <right style="thin"/>
      <top/>
      <bottom style="thin"/>
    </border>
  </borders>
  <cellStyleXfs count="1">
    <xf numFmtId="0" fontId="0" fillId="0" borderId="0"/>
  </cellStyleXfs>
  <cellXfs count="24">
    <xf numFmtId="0" fontId="0" fillId="0" borderId="0" pivotButton="0" quotePrefix="0" xfId="0"/>
    <xf numFmtId="0" fontId="1" fillId="0" borderId="1" applyAlignment="1" pivotButton="0" quotePrefix="0" xfId="0">
      <alignment horizontal="center" vertical="center"/>
    </xf>
    <xf numFmtId="0" fontId="0" fillId="0" borderId="1" pivotButton="0" quotePrefix="0" xfId="0"/>
    <xf numFmtId="0" fontId="2" fillId="0" borderId="2" applyAlignment="1" pivotButton="0" quotePrefix="0" xfId="0">
      <alignment horizontal="center" vertical="center"/>
    </xf>
    <xf numFmtId="0" fontId="2" fillId="0" borderId="3" applyAlignment="1" pivotButton="0" quotePrefix="0" xfId="0">
      <alignment horizontal="center" vertical="center"/>
    </xf>
    <xf numFmtId="0" fontId="2" fillId="0" borderId="3" applyAlignment="1" pivotButton="0" quotePrefix="0" xfId="0">
      <alignment horizontal="left" vertical="center"/>
    </xf>
    <xf numFmtId="0" fontId="3" fillId="0" borderId="3" applyAlignment="1" pivotButton="0" quotePrefix="0" xfId="0">
      <alignment horizontal="center" vertical="center"/>
    </xf>
    <xf numFmtId="0" fontId="3" fillId="0" borderId="4" applyAlignment="1" pivotButton="0" quotePrefix="0" xfId="0">
      <alignment horizontal="center" vertical="center"/>
    </xf>
    <xf numFmtId="0" fontId="5" fillId="2" borderId="6" applyAlignment="1" pivotButton="0" quotePrefix="0" xfId="0">
      <alignment horizontal="center" vertical="center"/>
    </xf>
    <xf numFmtId="0" fontId="5" fillId="2" borderId="7" applyAlignment="1" pivotButton="0" quotePrefix="0" xfId="0">
      <alignment horizontal="left" vertical="center" indent="1"/>
    </xf>
    <xf numFmtId="0" fontId="5" fillId="2" borderId="7" pivotButton="0" quotePrefix="0" xfId="0"/>
    <xf numFmtId="164" fontId="5" fillId="2" borderId="8" applyAlignment="1" pivotButton="0" quotePrefix="0" xfId="0">
      <alignment horizontal="right" vertical="center"/>
    </xf>
    <xf numFmtId="0" fontId="4" fillId="0" borderId="5" applyAlignment="1" pivotButton="0" quotePrefix="0" xfId="0">
      <alignment horizontal="center" vertical="center"/>
    </xf>
    <xf numFmtId="0" fontId="4" fillId="0" borderId="5" applyAlignment="1" pivotButton="0" quotePrefix="0" xfId="0">
      <alignment horizontal="left" vertical="center" wrapText="1"/>
    </xf>
    <xf numFmtId="164" fontId="4" fillId="0" borderId="5" applyAlignment="1" pivotButton="0" quotePrefix="0" xfId="0">
      <alignment horizontal="right" vertical="center"/>
    </xf>
    <xf numFmtId="0" fontId="1" fillId="3" borderId="7" applyAlignment="1" pivotButton="0" quotePrefix="0" xfId="0">
      <alignment horizontal="right" vertical="center"/>
    </xf>
    <xf numFmtId="0" fontId="5" fillId="3" borderId="7" applyAlignment="1" pivotButton="0" quotePrefix="0" xfId="0">
      <alignment horizontal="left" vertical="center" indent="1"/>
    </xf>
    <xf numFmtId="165" fontId="1" fillId="3" borderId="8" applyAlignment="1" pivotButton="0" quotePrefix="0" xfId="0">
      <alignment horizontal="right" vertical="center"/>
    </xf>
    <xf numFmtId="0" fontId="1" fillId="0" borderId="0" applyAlignment="1" pivotButton="0" quotePrefix="0" xfId="0">
      <alignment horizontal="center" vertical="center"/>
    </xf>
    <xf numFmtId="0" fontId="5" fillId="0" borderId="9" applyAlignment="1" pivotButton="0" quotePrefix="0" xfId="0">
      <alignment horizontal="left" vertical="center" indent="1"/>
    </xf>
    <xf numFmtId="0" fontId="1" fillId="0" borderId="9" applyAlignment="1" pivotButton="0" quotePrefix="0" xfId="0">
      <alignment horizontal="center" vertical="center"/>
    </xf>
    <xf numFmtId="1" fontId="1" fillId="0" borderId="9" applyAlignment="1" pivotButton="0" quotePrefix="0" xfId="0">
      <alignment horizontal="center" vertical="center"/>
    </xf>
    <xf numFmtId="165" fontId="1" fillId="0" borderId="9" applyAlignment="1" pivotButton="0" quotePrefix="0" xfId="0">
      <alignment horizontal="right" vertical="center"/>
    </xf>
    <xf numFmtId="0" fontId="6"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2:F60"/>
  <sheetViews>
    <sheetView workbookViewId="0">
      <pane ySplit="4" topLeftCell="A5" activePane="bottomLeft" state="frozen"/>
      <selection pane="bottomLeft" activeCell="A1" sqref="A1"/>
    </sheetView>
  </sheetViews>
  <sheetFormatPr baseColWidth="8" defaultRowHeight="15"/>
  <cols>
    <col width="8" customWidth="1" min="1" max="1"/>
    <col width="70" customWidth="1" min="2" max="2"/>
    <col width="10" customWidth="1" min="3" max="3"/>
    <col width="10" customWidth="1" min="4" max="4"/>
    <col width="15" customWidth="1" min="5" max="5"/>
    <col width="18" customWidth="1" min="6" max="6"/>
  </cols>
  <sheetData>
    <row r="2">
      <c r="A2" s="1" t="inlineStr">
        <is>
          <t>PRESUPUESTO DE MONTAJE DE EQUIPOS MECANICOS Y OBRAS CIVILES PLANTA TALTAL</t>
        </is>
      </c>
      <c r="B2" s="2" t="n"/>
      <c r="C2" s="2" t="n"/>
      <c r="D2" s="2" t="n"/>
      <c r="E2" s="2" t="n"/>
      <c r="F2" s="2" t="n"/>
    </row>
    <row r="4">
      <c r="A4" s="3" t="inlineStr">
        <is>
          <t>ITEM</t>
        </is>
      </c>
      <c r="B4" s="4" t="inlineStr">
        <is>
          <t>PARTIDA</t>
        </is>
      </c>
      <c r="C4" s="5" t="inlineStr">
        <is>
          <t>UNID.</t>
        </is>
      </c>
      <c r="D4" s="5" t="inlineStr">
        <is>
          <t>CANT.</t>
        </is>
      </c>
      <c r="E4" s="6" t="inlineStr">
        <is>
          <t>P.UNI.</t>
        </is>
      </c>
      <c r="F4" s="7" t="inlineStr">
        <is>
          <t>TOTAL</t>
        </is>
      </c>
    </row>
    <row r="6">
      <c r="A6" s="8" t="n">
        <v>1</v>
      </c>
      <c r="B6" s="9" t="inlineStr">
        <is>
          <t>FABRICACION Y MONTAJE DE TUBERIAS DE HDPE</t>
        </is>
      </c>
      <c r="C6" s="10" t="n"/>
      <c r="D6" s="10" t="n"/>
      <c r="E6" s="10" t="n"/>
      <c r="F6" s="11">
        <f>SUM(F7:F29)</f>
        <v/>
      </c>
    </row>
    <row r="7" ht="28" customHeight="1">
      <c r="A7" s="12" t="inlineStr">
        <is>
          <t>1.1</t>
        </is>
      </c>
      <c r="B7" s="13" t="inlineStr">
        <is>
          <t>Fabricacion y montaje linea SA-HDPE-DN110-PN10-001 - Salmuera mod. 11 l/s tie-in 3 -&gt; SA-DN90-001 (incluye montaje in-line: VM-06-001)</t>
        </is>
      </c>
      <c r="C7" s="12" t="inlineStr">
        <is>
          <t>gl</t>
        </is>
      </c>
      <c r="D7" s="12" t="n">
        <v>1</v>
      </c>
      <c r="E7" s="14" t="n"/>
      <c r="F7" s="14">
        <f>E7*D7</f>
        <v/>
      </c>
    </row>
    <row r="8" ht="28" customHeight="1">
      <c r="A8" s="12" t="inlineStr">
        <is>
          <t>1.2</t>
        </is>
      </c>
      <c r="B8" s="13" t="inlineStr">
        <is>
          <t>Fabricacion y montaje linea SA-HDPE-DN110-PN10-002 - Salmuera SA-001 -&gt; TK-06-001 (entrada estanque) (incluye montaje in-line: VM-06-002)</t>
        </is>
      </c>
      <c r="C8" s="12" t="inlineStr">
        <is>
          <t>gl</t>
        </is>
      </c>
      <c r="D8" s="12" t="n">
        <v>1</v>
      </c>
      <c r="E8" s="14" t="n"/>
      <c r="F8" s="14">
        <f>E8*D8</f>
        <v/>
      </c>
    </row>
    <row r="9" ht="28" customHeight="1">
      <c r="A9" s="12" t="inlineStr">
        <is>
          <t>1.3</t>
        </is>
      </c>
      <c r="B9" s="13" t="inlineStr">
        <is>
          <t>Fabricacion y montaje linea SA-HDPE-DN110-PN10-003 - Salmuera TK-06-001 -&gt; Fosa de Drenajes</t>
        </is>
      </c>
      <c r="C9" s="12" t="inlineStr">
        <is>
          <t>gl</t>
        </is>
      </c>
      <c r="D9" s="12" t="n">
        <v>1</v>
      </c>
      <c r="E9" s="14" t="n"/>
      <c r="F9" s="14">
        <f>E9*D9</f>
        <v/>
      </c>
    </row>
    <row r="10" ht="28" customHeight="1">
      <c r="A10" s="12" t="inlineStr">
        <is>
          <t>1.4</t>
        </is>
      </c>
      <c r="B10" s="13" t="inlineStr">
        <is>
          <t>Fabricacion y montaje linea SA-HDPE-DN63-PN10-001 - Salmuera TK-06-001 -&gt; Fosa de Drenajes (paralela) (incluye montaje in-line: VM-06-003)</t>
        </is>
      </c>
      <c r="C10" s="12" t="inlineStr">
        <is>
          <t>gl</t>
        </is>
      </c>
      <c r="D10" s="12" t="n">
        <v>1</v>
      </c>
      <c r="E10" s="14" t="n"/>
      <c r="F10" s="14">
        <f>E10*D10</f>
        <v/>
      </c>
    </row>
    <row r="11" ht="28" customHeight="1">
      <c r="A11" s="12" t="inlineStr">
        <is>
          <t>1.5</t>
        </is>
      </c>
      <c r="B11" s="13" t="inlineStr">
        <is>
          <t>Fabricacion y montaje linea SA-HDPE-DN110-PN10-004 - Salmuera TK-06-001 -&gt; BH-06-001 (succion) (incluye montaje in-line: VM-06-004)</t>
        </is>
      </c>
      <c r="C11" s="12" t="inlineStr">
        <is>
          <t>gl</t>
        </is>
      </c>
      <c r="D11" s="12" t="n">
        <v>1</v>
      </c>
      <c r="E11" s="14" t="n"/>
      <c r="F11" s="14">
        <f>E11*D11</f>
        <v/>
      </c>
    </row>
    <row r="12" ht="28" customHeight="1">
      <c r="A12" s="12" t="inlineStr">
        <is>
          <t>1.6</t>
        </is>
      </c>
      <c r="B12" s="13" t="inlineStr">
        <is>
          <t>Fabricacion y montaje linea SA-HDPE-DN110-PN10-005 - Salmuera BH-06-001 -&gt; tie-in 1 mod. 2da etapa (incluye montaje in-line: VM-06-005, VR-06-001)</t>
        </is>
      </c>
      <c r="C12" s="12" t="inlineStr">
        <is>
          <t>gl</t>
        </is>
      </c>
      <c r="D12" s="12" t="n">
        <v>1</v>
      </c>
      <c r="E12" s="14" t="n"/>
      <c r="F12" s="14">
        <f>E12*D12</f>
        <v/>
      </c>
    </row>
    <row r="13" ht="28" customHeight="1">
      <c r="A13" s="12" t="inlineStr">
        <is>
          <t>1.7</t>
        </is>
      </c>
      <c r="B13" s="13" t="inlineStr">
        <is>
          <t>Fabricacion y montaje linea SA-HDPE-DN110-PN10-007 - Salmuera SA-DN90-002 -&gt; drenaje original 11 l/s (incluye montaje in-line: VM-06-009, VR-06-003)</t>
        </is>
      </c>
      <c r="C13" s="12" t="inlineStr">
        <is>
          <t>gl</t>
        </is>
      </c>
      <c r="D13" s="12" t="n">
        <v>1</v>
      </c>
      <c r="E13" s="14" t="n"/>
      <c r="F13" s="14">
        <f>E13*D13</f>
        <v/>
      </c>
    </row>
    <row r="14" ht="28" customHeight="1">
      <c r="A14" s="12" t="inlineStr">
        <is>
          <t>1.8</t>
        </is>
      </c>
      <c r="B14" s="13" t="inlineStr">
        <is>
          <t>Fabricacion y montaje linea SA-HDPE-DN90-PN10-002 - Salmuera tie-in 3 mod. 2da etapa -&gt; SA-007</t>
        </is>
      </c>
      <c r="C14" s="12" t="inlineStr">
        <is>
          <t>gl</t>
        </is>
      </c>
      <c r="D14" s="12" t="n">
        <v>1</v>
      </c>
      <c r="E14" s="14" t="n"/>
      <c r="F14" s="14">
        <f>E14*D14</f>
        <v/>
      </c>
    </row>
    <row r="15" ht="28" customHeight="1">
      <c r="A15" s="12" t="inlineStr">
        <is>
          <t>1.9</t>
        </is>
      </c>
      <c r="B15" s="13" t="inlineStr">
        <is>
          <t>Fabricacion y montaje linea SA-HDPE-DN90-PN10-003 - Drenajes tie-in 4 mod. 2da etapa -&gt; canaleta</t>
        </is>
      </c>
      <c r="C15" s="12" t="inlineStr">
        <is>
          <t>gl</t>
        </is>
      </c>
      <c r="D15" s="12" t="n">
        <v>1</v>
      </c>
      <c r="E15" s="14" t="n"/>
      <c r="F15" s="14">
        <f>E15*D15</f>
        <v/>
      </c>
    </row>
    <row r="16" ht="28" customHeight="1">
      <c r="A16" s="12" t="inlineStr">
        <is>
          <t>1.10</t>
        </is>
      </c>
      <c r="B16" s="13" t="inlineStr">
        <is>
          <t>Fabricacion y montaje linea PE-HDPE-DN90-PN10-001 - Permeado tie-in 2 mod. 2da etapa -&gt; TK Producto N1/2 (incluye montaje in-line: VM-06-007, VM-06-015)</t>
        </is>
      </c>
      <c r="C16" s="12" t="inlineStr">
        <is>
          <t>gl</t>
        </is>
      </c>
      <c r="D16" s="12" t="n">
        <v>1</v>
      </c>
      <c r="E16" s="14" t="n"/>
      <c r="F16" s="14">
        <f>E16*D16</f>
        <v/>
      </c>
    </row>
    <row r="17" ht="28" customHeight="1">
      <c r="A17" s="12" t="inlineStr">
        <is>
          <t>1.11</t>
        </is>
      </c>
      <c r="B17" s="13" t="inlineStr">
        <is>
          <t>Fabricacion y montaje linea PE-HDPE-DN90-PN10-002 - Permeado PE-001 -&gt; Disolvedor de CO2 (incluye montaje in-line: VM-06-016)</t>
        </is>
      </c>
      <c r="C17" s="12" t="inlineStr">
        <is>
          <t>gl</t>
        </is>
      </c>
      <c r="D17" s="12" t="n">
        <v>1</v>
      </c>
      <c r="E17" s="14" t="n"/>
      <c r="F17" s="14">
        <f>E17*D17</f>
        <v/>
      </c>
    </row>
    <row r="18" ht="28" customHeight="1">
      <c r="A18" s="12" t="inlineStr">
        <is>
          <t>1.12</t>
        </is>
      </c>
      <c r="B18" s="13" t="inlineStr">
        <is>
          <t>Fabricacion y montaje linea PE-HDPE-DN90-PN10-003 - Permeado fuera de spec. PE-001 -&gt; SA-007 (incluye montaje in-line: VM-06-006)</t>
        </is>
      </c>
      <c r="C18" s="12" t="inlineStr">
        <is>
          <t>gl</t>
        </is>
      </c>
      <c r="D18" s="12" t="n">
        <v>1</v>
      </c>
      <c r="E18" s="14" t="n"/>
      <c r="F18" s="14">
        <f>E18*D18</f>
        <v/>
      </c>
    </row>
    <row r="19" ht="28" customHeight="1">
      <c r="A19" s="12" t="inlineStr">
        <is>
          <t>1.13</t>
        </is>
      </c>
      <c r="B19" s="13" t="inlineStr">
        <is>
          <t>Montaje soporte tipo SP-01 (mensula a muro/estructura existente con anclaje quimico, perfil UPE 80 + chapa; SP-01-01/02/03)</t>
        </is>
      </c>
      <c r="C19" s="12" t="inlineStr">
        <is>
          <t>un</t>
        </is>
      </c>
      <c r="D19" s="12" t="n">
        <v>21</v>
      </c>
      <c r="E19" s="14" t="n"/>
      <c r="F19" s="14">
        <f>E19*D19</f>
        <v/>
      </c>
    </row>
    <row r="20" ht="28" customHeight="1">
      <c r="A20" s="12" t="inlineStr">
        <is>
          <t>1.14</t>
        </is>
      </c>
      <c r="B20" s="13" t="inlineStr">
        <is>
          <t>Montaje soporte tipo SP-02 (mensula a muro/estructura existente con anclaje quimico; SP-02-01/02)</t>
        </is>
      </c>
      <c r="C20" s="12" t="inlineStr">
        <is>
          <t>un</t>
        </is>
      </c>
      <c r="D20" s="12" t="n">
        <v>3</v>
      </c>
      <c r="E20" s="14" t="n"/>
      <c r="F20" s="14">
        <f>E20*D20</f>
        <v/>
      </c>
    </row>
    <row r="21" ht="28" customHeight="1">
      <c r="A21" s="12" t="inlineStr">
        <is>
          <t>1.15</t>
        </is>
      </c>
      <c r="B21" s="13" t="inlineStr">
        <is>
          <t>Montaje soporte tipo SP-03 - mixto: SP-03-01/02 mensula a muro (anclaje quimico), SP-03-03 soldado a soporte existente Modulo 3 (WPS calificado)</t>
        </is>
      </c>
      <c r="C21" s="12" t="inlineStr">
        <is>
          <t>un</t>
        </is>
      </c>
      <c r="D21" s="12" t="n">
        <v>24</v>
      </c>
      <c r="E21" s="14" t="n"/>
      <c r="F21" s="14">
        <f>E21*D21</f>
        <v/>
      </c>
    </row>
    <row r="22" ht="28" customHeight="1">
      <c r="A22" s="12" t="inlineStr">
        <is>
          <t>1.16</t>
        </is>
      </c>
      <c r="B22" s="13" t="inlineStr">
        <is>
          <t>Montaje soporte tipo SP-04 (pedestal perfil cuadrado 100 mm sobre dado de hormigon + grout; SP-04-01)</t>
        </is>
      </c>
      <c r="C22" s="12" t="inlineStr">
        <is>
          <t>un</t>
        </is>
      </c>
      <c r="D22" s="12" t="n">
        <v>3</v>
      </c>
      <c r="E22" s="14" t="n"/>
      <c r="F22" s="14">
        <f>E22*D22</f>
        <v/>
      </c>
    </row>
    <row r="23" ht="28" customHeight="1">
      <c r="A23" s="12" t="inlineStr">
        <is>
          <t>1.17</t>
        </is>
      </c>
      <c r="B23" s="13" t="inlineStr">
        <is>
          <t>Montaje soporte tipo SP-05 (pedestal con riostra diagonal sobre dado de hormigon + grout; SP-05-01)</t>
        </is>
      </c>
      <c r="C23" s="12" t="inlineStr">
        <is>
          <t>un</t>
        </is>
      </c>
      <c r="D23" s="12" t="n">
        <v>5</v>
      </c>
      <c r="E23" s="14" t="n"/>
      <c r="F23" s="14">
        <f>E23*D23</f>
        <v/>
      </c>
    </row>
    <row r="24" ht="28" customHeight="1">
      <c r="A24" s="12" t="inlineStr">
        <is>
          <t>1.18</t>
        </is>
      </c>
      <c r="B24" s="13" t="inlineStr">
        <is>
          <t>Montaje soporte tipo SP-06 (pedestal con voladizo sobre dado de hormigon + grout; SP-06-01)</t>
        </is>
      </c>
      <c r="C24" s="12" t="inlineStr">
        <is>
          <t>un</t>
        </is>
      </c>
      <c r="D24" s="12" t="n">
        <v>1</v>
      </c>
      <c r="E24" s="14" t="n"/>
      <c r="F24" s="14">
        <f>E24*D24</f>
        <v/>
      </c>
    </row>
    <row r="25" ht="28" customHeight="1">
      <c r="A25" s="12" t="inlineStr">
        <is>
          <t>1.19</t>
        </is>
      </c>
      <c r="B25" s="13" t="inlineStr">
        <is>
          <t>Montaje soporte tipo SP-07 (pedestal con diagonal; SP-07-01/02)</t>
        </is>
      </c>
      <c r="C25" s="12" t="inlineStr">
        <is>
          <t>un</t>
        </is>
      </c>
      <c r="D25" s="12" t="n">
        <v>4</v>
      </c>
      <c r="E25" s="14" t="n"/>
      <c r="F25" s="14">
        <f>E25*D25</f>
        <v/>
      </c>
    </row>
    <row r="26" ht="28" customHeight="1">
      <c r="A26" s="12" t="inlineStr">
        <is>
          <t>1.20</t>
        </is>
      </c>
      <c r="B26" s="13" t="inlineStr">
        <is>
          <t>Montaje soporte tipo SP-08 (pedestal individual alto DN110; SP-08-01)</t>
        </is>
      </c>
      <c r="C26" s="12" t="inlineStr">
        <is>
          <t>un</t>
        </is>
      </c>
      <c r="D26" s="12" t="n">
        <v>1</v>
      </c>
      <c r="E26" s="14" t="n"/>
      <c r="F26" s="14">
        <f>E26*D26</f>
        <v/>
      </c>
    </row>
    <row r="27" ht="28" customHeight="1">
      <c r="A27" s="12" t="inlineStr">
        <is>
          <t>1.21</t>
        </is>
      </c>
      <c r="B27" s="13" t="inlineStr">
        <is>
          <t>Montaje soporte tipo SP-09 (pedestal perfil cuadrado 100 mm sobre dado de hormigon + grout, va a piso; SP-09-01)</t>
        </is>
      </c>
      <c r="C27" s="12" t="inlineStr">
        <is>
          <t>un</t>
        </is>
      </c>
      <c r="D27" s="12" t="n">
        <v>1</v>
      </c>
      <c r="E27" s="14" t="n"/>
      <c r="F27" s="14">
        <f>E27*D27</f>
        <v/>
      </c>
    </row>
    <row r="28" ht="28" customHeight="1">
      <c r="A28" s="12" t="inlineStr">
        <is>
          <t>1.22</t>
        </is>
      </c>
      <c r="B28" s="13" t="inlineStr">
        <is>
          <t>Montaje soporte tipo SP-10 - extremo a soldar en terreno (chapa en radier nuevo o anclaje quimico; SP-10-01)</t>
        </is>
      </c>
      <c r="C28" s="12" t="inlineStr">
        <is>
          <t>un</t>
        </is>
      </c>
      <c r="D28" s="12" t="n">
        <v>2</v>
      </c>
      <c r="E28" s="14" t="n"/>
      <c r="F28" s="14">
        <f>E28*D28</f>
        <v/>
      </c>
    </row>
    <row r="29" ht="28" customHeight="1">
      <c r="A29" s="12" t="inlineStr">
        <is>
          <t>1.23</t>
        </is>
      </c>
      <c r="B29" s="13" t="inlineStr">
        <is>
          <t>Montaje soporte tipo SP-11 (pedestal con doble nivel; SP-11-01/02)</t>
        </is>
      </c>
      <c r="C29" s="12" t="inlineStr">
        <is>
          <t>un</t>
        </is>
      </c>
      <c r="D29" s="12" t="n">
        <v>2</v>
      </c>
      <c r="E29" s="14" t="n"/>
      <c r="F29" s="14">
        <f>E29*D29</f>
        <v/>
      </c>
    </row>
    <row r="31">
      <c r="A31" s="8" t="n">
        <v>2</v>
      </c>
      <c r="B31" s="9" t="inlineStr">
        <is>
          <t>MONTAJE DE ESTANQUE PRFV</t>
        </is>
      </c>
      <c r="C31" s="10" t="n"/>
      <c r="D31" s="10" t="n"/>
      <c r="E31" s="10" t="n"/>
      <c r="F31" s="11">
        <f>SUM(F32:F33)</f>
        <v/>
      </c>
    </row>
    <row r="32">
      <c r="A32" s="12" t="inlineStr">
        <is>
          <t>2.1</t>
        </is>
      </c>
      <c r="B32" s="13" t="inlineStr">
        <is>
          <t>Montaje de estanque PRFV TK-06-001 (10 m3, ASME RTP-1, suministro ADASA)</t>
        </is>
      </c>
      <c r="C32" s="12" t="inlineStr">
        <is>
          <t>un</t>
        </is>
      </c>
      <c r="D32" s="12" t="n">
        <v>1</v>
      </c>
      <c r="E32" s="14" t="n"/>
      <c r="F32" s="14">
        <f>E32*D32</f>
        <v/>
      </c>
    </row>
    <row r="33">
      <c r="A33" s="12" t="inlineStr">
        <is>
          <t>2.2</t>
        </is>
      </c>
      <c r="B33" s="13" t="inlineStr">
        <is>
          <t>Traslado de Antofagasta a Taltal (TK-06-001)</t>
        </is>
      </c>
      <c r="C33" s="12" t="inlineStr">
        <is>
          <t>un</t>
        </is>
      </c>
      <c r="D33" s="12" t="n">
        <v>1</v>
      </c>
      <c r="E33" s="14" t="n"/>
      <c r="F33" s="14">
        <f>E33*D33</f>
        <v/>
      </c>
    </row>
    <row r="35">
      <c r="A35" s="8" t="n">
        <v>3</v>
      </c>
      <c r="B35" s="9" t="inlineStr">
        <is>
          <t>MONTAJE DE BOMBA CENTRIFUGA</t>
        </is>
      </c>
      <c r="C35" s="10" t="n"/>
      <c r="D35" s="10" t="n"/>
      <c r="E35" s="10" t="n"/>
      <c r="F35" s="11">
        <f>SUM(F36:F37)</f>
        <v/>
      </c>
    </row>
    <row r="36" ht="30" customHeight="1">
      <c r="A36" s="12" t="inlineStr">
        <is>
          <t>3.1</t>
        </is>
      </c>
      <c r="B36" s="13" t="inlineStr">
        <is>
          <t>Montaje de bomba centrifuga BH-06-001 KSB + motor WEH 11 kW (incluye pruebas electricas estaticas del motor; sin comisionamiento)</t>
        </is>
      </c>
      <c r="C36" s="12" t="inlineStr">
        <is>
          <t>un</t>
        </is>
      </c>
      <c r="D36" s="12" t="n">
        <v>1</v>
      </c>
      <c r="E36" s="14" t="n"/>
      <c r="F36" s="14">
        <f>E36*D36</f>
        <v/>
      </c>
    </row>
    <row r="37">
      <c r="A37" s="12" t="inlineStr">
        <is>
          <t>3.2</t>
        </is>
      </c>
      <c r="B37" s="13" t="inlineStr">
        <is>
          <t>Traslado de Antofagasta a Taltal (BH-06-001)</t>
        </is>
      </c>
      <c r="C37" s="12" t="inlineStr">
        <is>
          <t>un</t>
        </is>
      </c>
      <c r="D37" s="12" t="n">
        <v>1</v>
      </c>
      <c r="E37" s="14" t="n"/>
      <c r="F37" s="14">
        <f>E37*D37</f>
        <v/>
      </c>
    </row>
    <row r="39">
      <c r="A39" s="8" t="n">
        <v>4</v>
      </c>
      <c r="B39" s="9" t="inlineStr">
        <is>
          <t>OBRAS CIVILES</t>
        </is>
      </c>
      <c r="C39" s="10" t="n"/>
      <c r="D39" s="10" t="n"/>
      <c r="E39" s="10" t="n"/>
      <c r="F39" s="11">
        <f>SUM(F40:F53)</f>
        <v/>
      </c>
    </row>
    <row r="40" ht="28" customHeight="1">
      <c r="A40" s="12" t="inlineStr">
        <is>
          <t>4.1</t>
        </is>
      </c>
      <c r="B40" s="13" t="inlineStr">
        <is>
          <t>Fundacion contenedor modulo RO (F2) - independiente del sistema CIP</t>
        </is>
      </c>
      <c r="C40" s="12" t="inlineStr">
        <is>
          <t>m3</t>
        </is>
      </c>
      <c r="D40" s="12" t="n">
        <v>7.52</v>
      </c>
      <c r="E40" s="14" t="n"/>
      <c r="F40" s="14">
        <f>E40*D40</f>
        <v/>
      </c>
    </row>
    <row r="41" ht="28" customHeight="1">
      <c r="A41" s="12" t="inlineStr">
        <is>
          <t>4.2</t>
        </is>
      </c>
      <c r="B41" s="13" t="inlineStr">
        <is>
          <t>Fundacion sistema CIP (F2b) - independiente del contenedor del modulo RO; incluye la junta de dilatacion entre elementos de fundacion (poliestireno expandido de 2,5 cm, sello Sikaflex 1A y primer VP-215 en ambas paredes) del plano P22-DWG-00-002-007 LAM1 Rev 1</t>
        </is>
      </c>
      <c r="C41" s="12" t="inlineStr">
        <is>
          <t>m3</t>
        </is>
      </c>
      <c r="D41" s="12" t="n">
        <v>5.8</v>
      </c>
      <c r="E41" s="14" t="n"/>
      <c r="F41" s="14">
        <f>E41*D41</f>
        <v/>
      </c>
    </row>
    <row r="42" ht="28" customHeight="1">
      <c r="A42" s="12" t="inlineStr">
        <is>
          <t>4.3</t>
        </is>
      </c>
      <c r="B42" s="13" t="inlineStr">
        <is>
          <t>Fundacion de la cubierta metalica del sistema CIP (cobertizo) - incluye 24 pernos de anclaje F-1554 3/4" preinstalados (colados) y su proteccion anticorrosiva interina</t>
        </is>
      </c>
      <c r="C42" s="12" t="inlineStr">
        <is>
          <t>m3</t>
        </is>
      </c>
      <c r="D42" s="12" t="n">
        <v>2.38</v>
      </c>
      <c r="E42" s="14" t="n"/>
      <c r="F42" s="14">
        <f>E42*D42</f>
        <v/>
      </c>
    </row>
    <row r="43" ht="28" customHeight="1">
      <c r="A43" s="12" t="inlineStr">
        <is>
          <t>4.4</t>
        </is>
      </c>
      <c r="B43" s="13" t="inlineStr">
        <is>
          <t>Fundacion dinamica bomba BH-06-001 (F3) - segun ACI 351</t>
        </is>
      </c>
      <c r="C43" s="12" t="inlineStr">
        <is>
          <t>m3</t>
        </is>
      </c>
      <c r="D43" s="12" t="n">
        <v>0.95</v>
      </c>
      <c r="E43" s="14" t="n"/>
      <c r="F43" s="14">
        <f>E43*D43</f>
        <v/>
      </c>
    </row>
    <row r="44" ht="28" customHeight="1">
      <c r="A44" s="12" t="inlineStr">
        <is>
          <t>4.5</t>
        </is>
      </c>
      <c r="B44" s="13" t="inlineStr">
        <is>
          <t>Fundacion estanque TK-06-001 (F4)</t>
        </is>
      </c>
      <c r="C44" s="12" t="inlineStr">
        <is>
          <t>m3</t>
        </is>
      </c>
      <c r="D44" s="12" t="n">
        <v>6.33</v>
      </c>
      <c r="E44" s="14" t="n"/>
      <c r="F44" s="14">
        <f>E44*D44</f>
        <v/>
      </c>
    </row>
    <row r="45" ht="28" customHeight="1">
      <c r="A45" s="12" t="inlineStr">
        <is>
          <t>4.6</t>
        </is>
      </c>
      <c r="B45" s="13" t="inlineStr">
        <is>
          <t>Fundacion camara de drenajes TK-06-004 (F5)</t>
        </is>
      </c>
      <c r="C45" s="12" t="inlineStr">
        <is>
          <t>m3</t>
        </is>
      </c>
      <c r="D45" s="12" t="n">
        <v>1.66</v>
      </c>
      <c r="E45" s="14" t="n"/>
      <c r="F45" s="14">
        <f>E45*D45</f>
        <v/>
      </c>
    </row>
    <row r="46" ht="28" customHeight="1">
      <c r="A46" s="12" t="inlineStr">
        <is>
          <t>4.7</t>
        </is>
      </c>
      <c r="B46" s="13" t="inlineStr">
        <is>
          <t>Dados de hormigon G25 para pedestales de soportes a piso (17 dados de 350x350x100 mm sobre placa de acero 200x200, segun cuadernillo P22-DWG-06-006-107: SP-04/05/06/07/08/09/11; incluye emplantillado G5, moldaje, nivelacion, grout y excavacion local; el anclaje quimico de la placa va en el montaje del soporte, Cap. 1)</t>
        </is>
      </c>
      <c r="C46" s="12" t="inlineStr">
        <is>
          <t>un</t>
        </is>
      </c>
      <c r="D46" s="12" t="n">
        <v>17</v>
      </c>
      <c r="E46" s="14" t="n"/>
      <c r="F46" s="14">
        <f>E46*D46</f>
        <v/>
      </c>
    </row>
    <row r="47" ht="28" customHeight="1">
      <c r="A47" s="12" t="inlineStr">
        <is>
          <t>4.8</t>
        </is>
      </c>
      <c r="B47" s="13" t="inlineStr">
        <is>
          <t>Excavacion comun en fundaciones y zanjas de drenaje + retiro y transporte de excedentes (retiro incluido en el P.UNI por m3 excavado)</t>
        </is>
      </c>
      <c r="C47" s="12" t="inlineStr">
        <is>
          <t>m3</t>
        </is>
      </c>
      <c r="D47" s="12" t="n">
        <v>111.7</v>
      </c>
      <c r="E47" s="14" t="n"/>
      <c r="F47" s="14">
        <f>E47*D47</f>
        <v/>
      </c>
    </row>
    <row r="48" ht="28" customHeight="1">
      <c r="A48" s="12" t="inlineStr">
        <is>
          <t>4.9</t>
        </is>
      </c>
      <c r="B48" s="13" t="inlineStr">
        <is>
          <t>Relleno compactado con material seleccionado + base estabilizada (sello arena/hormigon pobre) bajo losas</t>
        </is>
      </c>
      <c r="C48" s="12" t="inlineStr">
        <is>
          <t>m3</t>
        </is>
      </c>
      <c r="D48" s="12" t="n">
        <v>91.5</v>
      </c>
      <c r="E48" s="14" t="n"/>
      <c r="F48" s="14">
        <f>E48*D48</f>
        <v/>
      </c>
    </row>
    <row r="49" ht="28" customHeight="1">
      <c r="A49" s="12" t="inlineStr">
        <is>
          <t>4.10</t>
        </is>
      </c>
      <c r="B49" s="13" t="inlineStr">
        <is>
          <t>Sistema de drenaje del modulo (canaleta perimetral + sumideros + tuberia HDPE Ø63 corrugada + conexion a TK-06-004)</t>
        </is>
      </c>
      <c r="C49" s="12" t="inlineStr">
        <is>
          <t>gl</t>
        </is>
      </c>
      <c r="D49" s="12" t="n">
        <v>1</v>
      </c>
      <c r="E49" s="14" t="n"/>
      <c r="F49" s="14">
        <f>E49*D49</f>
        <v/>
      </c>
    </row>
    <row r="50" ht="28" customHeight="1">
      <c r="A50" s="12" t="inlineStr">
        <is>
          <t>4.11</t>
        </is>
      </c>
      <c r="B50" s="13" t="inlineStr">
        <is>
          <t>Camaras de inspeccion prefabricadas (marca Grau, Budnik o equivalente) incluye radier G25 de base - 6 un + 0,576 m3 (plano P22-DWG-00-002-006)</t>
        </is>
      </c>
      <c r="C50" s="12" t="inlineStr">
        <is>
          <t>un</t>
        </is>
      </c>
      <c r="D50" s="12" t="n">
        <v>6</v>
      </c>
      <c r="E50" s="14" t="n"/>
      <c r="F50" s="14">
        <f>E50*D50</f>
        <v/>
      </c>
    </row>
    <row r="51" ht="28" customHeight="1">
      <c r="A51" s="12" t="inlineStr">
        <is>
          <t>4.12</t>
        </is>
      </c>
      <c r="B51" s="13" t="inlineStr">
        <is>
          <t>Insertos y estructura embebida del contenedor RO (perfiles L100x100x6 + atiesador PL20, ASTM A36); suministro y colocacion (embebido, sin ereccion ni C5-M)</t>
        </is>
      </c>
      <c r="C51" s="12" t="inlineStr">
        <is>
          <t>kg</t>
        </is>
      </c>
      <c r="D51" s="12" t="n">
        <v>405.66</v>
      </c>
      <c r="E51" s="14" t="n"/>
      <c r="F51" s="14">
        <f>E51*D51</f>
        <v/>
      </c>
    </row>
    <row r="52" ht="28" customHeight="1">
      <c r="A52" s="12" t="inlineStr">
        <is>
          <t>4.13</t>
        </is>
      </c>
      <c r="B52" s="13" t="inlineStr">
        <is>
          <t>Impermeabilizacion quimico-resistente interior de la fosa de drenajes TK-06-004 + proteccion exterior enterrada (ambiente salmuera)</t>
        </is>
      </c>
      <c r="C52" s="12" t="inlineStr">
        <is>
          <t>gl</t>
        </is>
      </c>
      <c r="D52" s="12" t="n">
        <v>1</v>
      </c>
      <c r="E52" s="14" t="n"/>
      <c r="F52" s="14">
        <f>E52*D52</f>
        <v/>
      </c>
    </row>
    <row r="53" ht="28" customHeight="1">
      <c r="A53" s="12" t="inlineStr">
        <is>
          <t>4.14</t>
        </is>
      </c>
      <c r="B53" s="13" t="inlineStr">
        <is>
          <t>Impermeabilizacion / proteccion del hormigon enterrado de las fundaciones (recubrimiento damp-proof / cristalizante)</t>
        </is>
      </c>
      <c r="C53" s="12" t="inlineStr">
        <is>
          <t>gl</t>
        </is>
      </c>
      <c r="D53" s="12" t="n">
        <v>1</v>
      </c>
      <c r="E53" s="14" t="n"/>
      <c r="F53" s="14">
        <f>E53*D53</f>
        <v/>
      </c>
    </row>
    <row r="55">
      <c r="A55" s="15" t="n"/>
      <c r="B55" s="16" t="inlineStr">
        <is>
          <t>COSTO DIRECTO</t>
        </is>
      </c>
      <c r="C55" s="15" t="n"/>
      <c r="D55" s="15" t="n"/>
      <c r="E55" s="15" t="n"/>
      <c r="F55" s="17">
        <f>F6+F31+F35+F39</f>
        <v/>
      </c>
    </row>
    <row r="56">
      <c r="A56" s="18" t="n"/>
      <c r="B56" s="19" t="inlineStr">
        <is>
          <t>GASTOS GENERALES</t>
        </is>
      </c>
      <c r="C56" s="20" t="inlineStr">
        <is>
          <t>%</t>
        </is>
      </c>
      <c r="D56" s="21" t="n">
        <v>20</v>
      </c>
      <c r="E56" s="20" t="n"/>
      <c r="F56" s="22">
        <f>F55*D56/100</f>
        <v/>
      </c>
    </row>
    <row r="57">
      <c r="A57" s="18" t="n"/>
      <c r="B57" s="19" t="inlineStr">
        <is>
          <t>UTILIDADES</t>
        </is>
      </c>
      <c r="C57" s="20" t="inlineStr">
        <is>
          <t>%</t>
        </is>
      </c>
      <c r="D57" s="21" t="n">
        <v>10</v>
      </c>
      <c r="E57" s="20" t="n"/>
      <c r="F57" s="22">
        <f>F55*D57/100</f>
        <v/>
      </c>
    </row>
    <row r="58">
      <c r="A58" s="15" t="n"/>
      <c r="B58" s="16" t="inlineStr">
        <is>
          <t>TOTAL GENERAL</t>
        </is>
      </c>
      <c r="C58" s="15" t="n"/>
      <c r="D58" s="15" t="n"/>
      <c r="E58" s="15" t="n"/>
      <c r="F58" s="17">
        <f>+F55+F56+F57</f>
        <v/>
      </c>
    </row>
    <row r="60" ht="56" customHeight="1">
      <c r="A60" s="23" t="inlineStr">
        <is>
          <t>Nota: las cantidades del Capitulo 4 - Obras Civiles son cubicacion referencial Clase 2 AACE segun la ingenieria de detalle OOCC vigente, en Rev 0 salvo las cinco laminas que pasaron a Rev 1 (P22-DWG-00-002-002 LAM1 y LAM4, P22-DWG-00-002-003 LAM1, P22-DWG-00-002-007 LAM1 y LAM2). La unica partida que cambia de cantidad respecto de la Rev 0 de estas Bases es la 4.2, que baja de 7,36 a 5,80 m3 de hormigon G25 porque la Rev 1 reduce la fundacion de equipos del sistema CIP de 4,13 a 2,63 m3 e incorpora una junta de dilatacion; la excavacion de esa zona baja de 5,01 a 1,60 m3 y se descuenta de la partida 4.8. La fundacion del contenedor sube 250 mm de cota (N.T.C. +6,300 y sello +5,400) sin que su cuadro de excavacion se modifique, de modo que las cantidades de movimiento de tierra de esa zona quedan sujetas a la verificacion del contratista en terreno. La excavacion (4.8) y el relleno (4.9) toman como respaldo el plano de Movimiento de Tierra P22-DWG-00-001-001 Rev 0, cuya tabla de cubicaciones es referencial, a validar por el contratista y sin esponjamiento; las cantidades de este Formato son iguales o superiores a las geometricas del plano (incorporan el esponjamiento y el relleno de fundaciones no tabulado en el plano). Los P.UNI. son valores de mercado del norte de Chile con premium logistico de Taltal (no el analisis de precios del consultor). Los items 4.1 a 4.6 incluyen moldaje, emplantillado G10, armaduras A630-420H y pernos/insertos embebidos; el item 4.3 (fundacion de la cubierta/cobertizo CIP) incluye ademas los 24 pernos de anclaje F-1554 colados y su proteccion anticorrosiva interina; el item 4.7 son los 17 dados (cotizados por unidad) de los soportes que van a piso (SP-04/05/06/07/08/09/11 del cuadernillo; pollo de hormigon de 350x350x100 mm sobre placa de acero 200x200, referencial, sujeto a la memoria de calculo de soportes). La estructura metalica de la cubierta (perfiles ASTM A36, panel PV-6, pintado C5-M) NO forma parte de esta licitacion: la suministra e instala ADASA en una etapa posterior; solo su fundacion permanece costeada. Las camaras prefabricadas (4.11) y la impermeabilizacion (4.13/4.14) corresponden a alcance de obra no cuantificado en la Estimacion de Inversion. Las partidas 4.10, 4.13 y 4.14 son valores referenciales a confirmar por el contratista.</t>
        </is>
      </c>
    </row>
  </sheetData>
  <mergeCells count="2">
    <mergeCell ref="A2:F2"/>
    <mergeCell ref="A60:F60"/>
  </mergeCells>
  <pageMargins left="0.75" right="0.75" top="1" bottom="1" header="0.5" footer="0.5"/>
  <pageSetup orientation="portrait" paperSize="1"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2026-09-04T17:58:51Z</dcterms:created>
  <dcterms:modified xmlns:dcterms="http://purl.org/dc/terms/" xmlns:xsi="http://www.w3.org/2001/XMLSchema-instance" xsi:type="dcterms:W3CDTF">2026-09-04T17:58:51Z</dcterms:modified>
</cp:coreProperties>
</file>